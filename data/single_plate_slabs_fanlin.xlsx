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pythonProject_MAML\元学习\板柱冲切\Revise\submit\data\"/>
    </mc:Choice>
  </mc:AlternateContent>
  <xr:revisionPtr revIDLastSave="0" documentId="13_ncr:1_{84767E75-A7FA-4F96-9143-7593B90342E6}" xr6:coauthVersionLast="47" xr6:coauthVersionMax="47" xr10:uidLastSave="{00000000-0000-0000-0000-000000000000}"/>
  <bookViews>
    <workbookView xWindow="2340" yWindow="2340" windowWidth="16830" windowHeight="15225" xr2:uid="{7B55B886-A272-49B0-9F4C-7198E18F5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D15" i="1"/>
  <c r="D10" i="1"/>
  <c r="D12" i="1"/>
  <c r="D2" i="1"/>
  <c r="D5" i="1"/>
  <c r="F17" i="1"/>
  <c r="D17" i="1"/>
  <c r="F16" i="1"/>
  <c r="D16" i="1"/>
  <c r="F18" i="1"/>
  <c r="D18" i="1"/>
  <c r="F13" i="1"/>
  <c r="D13" i="1"/>
  <c r="F11" i="1"/>
  <c r="D11" i="1"/>
  <c r="F9" i="1"/>
  <c r="D9" i="1"/>
  <c r="F8" i="1"/>
  <c r="D8" i="1"/>
  <c r="F3" i="1"/>
  <c r="D3" i="1"/>
  <c r="F7" i="1"/>
  <c r="D7" i="1"/>
  <c r="F4" i="1"/>
  <c r="D4" i="1"/>
  <c r="F6" i="1"/>
  <c r="D6" i="1"/>
</calcChain>
</file>

<file path=xl/sharedStrings.xml><?xml version="1.0" encoding="utf-8"?>
<sst xmlns="http://schemas.openxmlformats.org/spreadsheetml/2006/main" count="16" uniqueCount="16">
  <si>
    <t>L1</t>
    <phoneticPr fontId="3" type="noConversion"/>
  </si>
  <si>
    <t>h0</t>
    <phoneticPr fontId="3" type="noConversion"/>
  </si>
  <si>
    <t>c/R</t>
    <phoneticPr fontId="3" type="noConversion"/>
  </si>
  <si>
    <t>CKB</t>
    <phoneticPr fontId="3" type="noConversion"/>
  </si>
  <si>
    <t>fcu</t>
    <phoneticPr fontId="3" type="noConversion"/>
  </si>
  <si>
    <t>t_bot</t>
    <phoneticPr fontId="3" type="noConversion"/>
  </si>
  <si>
    <t>fy_bot</t>
  </si>
  <si>
    <t>fu_bot</t>
    <phoneticPr fontId="3" type="noConversion"/>
  </si>
  <si>
    <t>t_top</t>
    <phoneticPr fontId="3" type="noConversion"/>
  </si>
  <si>
    <t>fy_top</t>
    <phoneticPr fontId="3" type="noConversion"/>
  </si>
  <si>
    <t>fu_top</t>
    <phoneticPr fontId="3" type="noConversion"/>
  </si>
  <si>
    <t>stud_space</t>
    <phoneticPr fontId="3" type="noConversion"/>
  </si>
  <si>
    <t>stud_D</t>
    <phoneticPr fontId="3" type="noConversion"/>
  </si>
  <si>
    <t>stud_height</t>
    <phoneticPr fontId="3" type="noConversion"/>
  </si>
  <si>
    <t>rho</t>
  </si>
  <si>
    <t>Vu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</si>
</sst>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8" formatCode="0.000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name val="Arial Unicode MS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" fontId="1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CFB6-B5BE-47AD-8AE0-54E777A7AD16}">
  <dimension ref="A1:P18"/>
  <sheetViews>
    <sheetView tabSelected="1" zoomScale="82" zoomScaleNormal="82" workbookViewId="0">
      <selection activeCell="K10" sqref="K10"/>
    </sheetView>
  </sheetViews>
  <sheetFormatPr defaultRowHeight="14.25" x14ac:dyDescent="0.2"/>
  <cols>
    <col min="4" max="4" width="8.25" bestFit="1" customWidth="1"/>
    <col min="5" max="5" width="7.875" customWidth="1"/>
  </cols>
  <sheetData>
    <row r="1" spans="1:16" s="2" customFormat="1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15</v>
      </c>
    </row>
    <row r="2" spans="1:16" s="2" customFormat="1" ht="15" x14ac:dyDescent="0.2">
      <c r="A2" s="1">
        <v>860</v>
      </c>
      <c r="B2" s="1">
        <v>100</v>
      </c>
      <c r="C2" s="1">
        <v>100</v>
      </c>
      <c r="D2" s="7">
        <f>(A2-B2)/C2/2</f>
        <v>3.8</v>
      </c>
      <c r="E2" s="6">
        <v>3.925E-2</v>
      </c>
      <c r="F2" s="5">
        <v>55.2</v>
      </c>
      <c r="G2" s="1">
        <v>4</v>
      </c>
      <c r="H2" s="1">
        <v>435</v>
      </c>
      <c r="I2" s="1">
        <v>515</v>
      </c>
      <c r="J2" s="1">
        <v>0</v>
      </c>
      <c r="K2" s="1">
        <v>0</v>
      </c>
      <c r="L2" s="1">
        <v>0</v>
      </c>
      <c r="M2" s="1">
        <v>120</v>
      </c>
      <c r="N2" s="1">
        <v>10</v>
      </c>
      <c r="O2" s="1">
        <v>30</v>
      </c>
      <c r="P2" s="8">
        <v>411</v>
      </c>
    </row>
    <row r="3" spans="1:16" ht="15" x14ac:dyDescent="0.2">
      <c r="A3" s="1">
        <v>800</v>
      </c>
      <c r="B3" s="1">
        <v>75</v>
      </c>
      <c r="C3" s="1">
        <v>100</v>
      </c>
      <c r="D3" s="7">
        <f>(A3-B3)/C3/2</f>
        <v>3.625</v>
      </c>
      <c r="E3" s="6">
        <v>0</v>
      </c>
      <c r="F3" s="5">
        <f t="shared" ref="F3:F18" si="0">120.3*0.95</f>
        <v>114.285</v>
      </c>
      <c r="G3" s="1">
        <v>12</v>
      </c>
      <c r="H3" s="1">
        <v>445.5</v>
      </c>
      <c r="I3" s="1">
        <v>589.1</v>
      </c>
      <c r="J3" s="1">
        <v>0</v>
      </c>
      <c r="K3" s="1">
        <v>0</v>
      </c>
      <c r="L3" s="1">
        <v>0</v>
      </c>
      <c r="M3" s="1">
        <v>200</v>
      </c>
      <c r="N3" s="1">
        <v>13</v>
      </c>
      <c r="O3" s="1">
        <v>60</v>
      </c>
      <c r="P3" s="8">
        <v>511.1</v>
      </c>
    </row>
    <row r="4" spans="1:16" ht="15" x14ac:dyDescent="0.2">
      <c r="A4" s="1">
        <v>800</v>
      </c>
      <c r="B4" s="1">
        <v>75</v>
      </c>
      <c r="C4" s="1">
        <v>80</v>
      </c>
      <c r="D4" s="7">
        <f>(A4-B4)/C4/2</f>
        <v>4.53125</v>
      </c>
      <c r="E4" s="6">
        <v>0</v>
      </c>
      <c r="F4" s="5">
        <f t="shared" si="0"/>
        <v>114.285</v>
      </c>
      <c r="G4" s="1">
        <v>8</v>
      </c>
      <c r="H4" s="1">
        <v>445.5</v>
      </c>
      <c r="I4" s="1">
        <v>589.1</v>
      </c>
      <c r="J4" s="1">
        <v>0</v>
      </c>
      <c r="K4" s="1">
        <v>0</v>
      </c>
      <c r="L4" s="1">
        <v>0</v>
      </c>
      <c r="M4" s="1">
        <v>200</v>
      </c>
      <c r="N4" s="1">
        <v>13</v>
      </c>
      <c r="O4" s="1">
        <v>60</v>
      </c>
      <c r="P4" s="8">
        <v>368.2</v>
      </c>
    </row>
    <row r="5" spans="1:16" s="2" customFormat="1" ht="15" x14ac:dyDescent="0.2">
      <c r="A5" s="1">
        <v>860</v>
      </c>
      <c r="B5" s="1">
        <v>100</v>
      </c>
      <c r="C5" s="1">
        <v>100</v>
      </c>
      <c r="D5" s="7">
        <f>(A5-B5)/C5/2</f>
        <v>3.8</v>
      </c>
      <c r="E5" s="6">
        <v>0</v>
      </c>
      <c r="F5" s="5">
        <v>55.2</v>
      </c>
      <c r="G5" s="1">
        <v>4</v>
      </c>
      <c r="H5" s="1">
        <v>435</v>
      </c>
      <c r="I5" s="1">
        <v>515</v>
      </c>
      <c r="J5" s="1">
        <v>0</v>
      </c>
      <c r="K5" s="1">
        <v>0</v>
      </c>
      <c r="L5" s="1">
        <v>0</v>
      </c>
      <c r="M5" s="1">
        <v>120</v>
      </c>
      <c r="N5" s="1">
        <v>10</v>
      </c>
      <c r="O5" s="1">
        <v>30</v>
      </c>
      <c r="P5" s="8">
        <v>392</v>
      </c>
    </row>
    <row r="6" spans="1:16" ht="15" x14ac:dyDescent="0.2">
      <c r="A6" s="1">
        <v>800</v>
      </c>
      <c r="B6" s="1">
        <v>75</v>
      </c>
      <c r="C6" s="1">
        <v>100</v>
      </c>
      <c r="D6" s="7">
        <f t="shared" ref="D6:D17" si="1">(A6-B6)/C6/2</f>
        <v>3.625</v>
      </c>
      <c r="E6" s="6">
        <v>0</v>
      </c>
      <c r="F6" s="5">
        <f>120.3*0.95</f>
        <v>114.285</v>
      </c>
      <c r="G6" s="1">
        <v>8</v>
      </c>
      <c r="H6" s="1">
        <v>445.5</v>
      </c>
      <c r="I6" s="1">
        <v>589.1</v>
      </c>
      <c r="J6" s="1">
        <v>0</v>
      </c>
      <c r="K6" s="1">
        <v>0</v>
      </c>
      <c r="L6" s="1">
        <v>0</v>
      </c>
      <c r="M6" s="1">
        <v>200</v>
      </c>
      <c r="N6" s="1">
        <v>13</v>
      </c>
      <c r="O6" s="1">
        <v>60</v>
      </c>
      <c r="P6" s="8">
        <v>455.2</v>
      </c>
    </row>
    <row r="7" spans="1:16" ht="15" x14ac:dyDescent="0.2">
      <c r="A7" s="1">
        <v>800</v>
      </c>
      <c r="B7" s="1">
        <v>75</v>
      </c>
      <c r="C7" s="1">
        <v>125</v>
      </c>
      <c r="D7" s="7">
        <f t="shared" si="1"/>
        <v>2.9</v>
      </c>
      <c r="E7" s="6">
        <v>0</v>
      </c>
      <c r="F7" s="5">
        <f t="shared" si="0"/>
        <v>114.285</v>
      </c>
      <c r="G7" s="1">
        <v>8</v>
      </c>
      <c r="H7" s="1">
        <v>445.5</v>
      </c>
      <c r="I7" s="1">
        <v>589.1</v>
      </c>
      <c r="J7" s="1">
        <v>0</v>
      </c>
      <c r="K7" s="1">
        <v>0</v>
      </c>
      <c r="L7" s="1">
        <v>0</v>
      </c>
      <c r="M7" s="1">
        <v>200</v>
      </c>
      <c r="N7" s="1">
        <v>13</v>
      </c>
      <c r="O7" s="1">
        <v>60</v>
      </c>
      <c r="P7" s="8">
        <v>493.5</v>
      </c>
    </row>
    <row r="8" spans="1:16" ht="15" x14ac:dyDescent="0.2">
      <c r="A8" s="1">
        <v>800</v>
      </c>
      <c r="B8" s="1">
        <v>75</v>
      </c>
      <c r="C8" s="1">
        <v>100</v>
      </c>
      <c r="D8" s="7">
        <f t="shared" si="1"/>
        <v>3.625</v>
      </c>
      <c r="E8" s="6">
        <v>0</v>
      </c>
      <c r="F8" s="5">
        <f t="shared" si="0"/>
        <v>114.285</v>
      </c>
      <c r="G8" s="1">
        <v>10</v>
      </c>
      <c r="H8" s="1">
        <v>445.5</v>
      </c>
      <c r="I8" s="1">
        <v>589.1</v>
      </c>
      <c r="J8" s="1">
        <v>0</v>
      </c>
      <c r="K8" s="1">
        <v>0</v>
      </c>
      <c r="L8" s="1">
        <v>0</v>
      </c>
      <c r="M8" s="1">
        <v>200</v>
      </c>
      <c r="N8" s="1">
        <v>13</v>
      </c>
      <c r="O8" s="1">
        <v>60</v>
      </c>
      <c r="P8" s="8">
        <v>464.5</v>
      </c>
    </row>
    <row r="9" spans="1:16" ht="15" x14ac:dyDescent="0.2">
      <c r="A9" s="1">
        <v>800</v>
      </c>
      <c r="B9" s="1">
        <v>75</v>
      </c>
      <c r="C9" s="1">
        <v>100</v>
      </c>
      <c r="D9" s="7">
        <f>(A9-B9)/C9/2</f>
        <v>3.625</v>
      </c>
      <c r="E9" s="6">
        <v>0</v>
      </c>
      <c r="F9" s="5">
        <f t="shared" si="0"/>
        <v>114.285</v>
      </c>
      <c r="G9" s="1">
        <v>0</v>
      </c>
      <c r="H9" s="1">
        <v>445.5</v>
      </c>
      <c r="I9" s="1">
        <v>589.1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8">
        <v>121.2</v>
      </c>
    </row>
    <row r="10" spans="1:16" s="2" customFormat="1" ht="15" x14ac:dyDescent="0.2">
      <c r="A10" s="1">
        <v>860</v>
      </c>
      <c r="B10" s="1">
        <v>100</v>
      </c>
      <c r="C10" s="1">
        <v>100</v>
      </c>
      <c r="D10" s="7">
        <f>(A10-B10)/C10/2</f>
        <v>3.8</v>
      </c>
      <c r="E10" s="6">
        <v>3.925E-2</v>
      </c>
      <c r="F10" s="5">
        <v>55.2</v>
      </c>
      <c r="G10" s="1">
        <v>4</v>
      </c>
      <c r="H10" s="1">
        <v>435</v>
      </c>
      <c r="I10" s="1">
        <v>515</v>
      </c>
      <c r="J10" s="1">
        <v>0</v>
      </c>
      <c r="K10" s="1">
        <v>0</v>
      </c>
      <c r="L10" s="1">
        <v>0</v>
      </c>
      <c r="M10" s="1">
        <v>240</v>
      </c>
      <c r="N10" s="1">
        <v>10</v>
      </c>
      <c r="O10" s="1">
        <v>30</v>
      </c>
      <c r="P10" s="8">
        <v>334</v>
      </c>
    </row>
    <row r="11" spans="1:16" s="2" customFormat="1" ht="15" x14ac:dyDescent="0.2">
      <c r="A11" s="1">
        <v>800</v>
      </c>
      <c r="B11" s="1">
        <v>50</v>
      </c>
      <c r="C11" s="1">
        <v>100</v>
      </c>
      <c r="D11" s="7">
        <f t="shared" si="1"/>
        <v>3.75</v>
      </c>
      <c r="E11" s="6">
        <v>0</v>
      </c>
      <c r="F11" s="5">
        <f t="shared" si="0"/>
        <v>114.285</v>
      </c>
      <c r="G11" s="1">
        <v>8</v>
      </c>
      <c r="H11" s="1">
        <v>445.5</v>
      </c>
      <c r="I11" s="1">
        <v>589.1</v>
      </c>
      <c r="J11" s="1">
        <v>0</v>
      </c>
      <c r="K11" s="1">
        <v>0</v>
      </c>
      <c r="L11" s="1">
        <v>0</v>
      </c>
      <c r="M11" s="1">
        <v>200</v>
      </c>
      <c r="N11" s="1">
        <v>13</v>
      </c>
      <c r="O11" s="1">
        <v>35</v>
      </c>
      <c r="P11" s="8">
        <v>284.5</v>
      </c>
    </row>
    <row r="12" spans="1:16" s="2" customFormat="1" ht="15" x14ac:dyDescent="0.2">
      <c r="A12" s="1">
        <v>860</v>
      </c>
      <c r="B12" s="1">
        <v>100</v>
      </c>
      <c r="C12" s="1">
        <v>100</v>
      </c>
      <c r="D12" s="7">
        <f>(A12-B12)/C12/2</f>
        <v>3.8</v>
      </c>
      <c r="E12" s="6">
        <v>3.925E-2</v>
      </c>
      <c r="F12" s="5">
        <v>55.2</v>
      </c>
      <c r="G12" s="1">
        <v>3</v>
      </c>
      <c r="H12" s="1">
        <v>435</v>
      </c>
      <c r="I12" s="1">
        <v>515</v>
      </c>
      <c r="J12" s="1">
        <v>0</v>
      </c>
      <c r="K12" s="1">
        <v>0</v>
      </c>
      <c r="L12" s="1">
        <v>0</v>
      </c>
      <c r="M12" s="1">
        <v>120</v>
      </c>
      <c r="N12" s="1">
        <v>10</v>
      </c>
      <c r="O12" s="1">
        <v>30</v>
      </c>
      <c r="P12" s="8">
        <v>372</v>
      </c>
    </row>
    <row r="13" spans="1:16" s="2" customFormat="1" ht="15" x14ac:dyDescent="0.2">
      <c r="A13" s="1">
        <v>800</v>
      </c>
      <c r="B13" s="1">
        <v>50</v>
      </c>
      <c r="C13" s="1">
        <v>100</v>
      </c>
      <c r="D13" s="7">
        <f t="shared" si="1"/>
        <v>3.75</v>
      </c>
      <c r="E13" s="6">
        <v>0</v>
      </c>
      <c r="F13" s="5">
        <f t="shared" si="0"/>
        <v>114.285</v>
      </c>
      <c r="G13" s="1">
        <v>12</v>
      </c>
      <c r="H13" s="1">
        <v>445.5</v>
      </c>
      <c r="I13" s="1">
        <v>589.1</v>
      </c>
      <c r="J13" s="1">
        <v>0</v>
      </c>
      <c r="K13" s="1">
        <v>0</v>
      </c>
      <c r="L13" s="1">
        <v>0</v>
      </c>
      <c r="M13" s="1">
        <v>200</v>
      </c>
      <c r="N13" s="1">
        <v>13</v>
      </c>
      <c r="O13" s="1">
        <v>35</v>
      </c>
      <c r="P13" s="8">
        <v>307.39999999999998</v>
      </c>
    </row>
    <row r="14" spans="1:16" s="2" customFormat="1" ht="15" x14ac:dyDescent="0.2">
      <c r="A14" s="1">
        <v>860</v>
      </c>
      <c r="B14" s="1">
        <v>100</v>
      </c>
      <c r="C14" s="1">
        <v>100</v>
      </c>
      <c r="D14" s="7">
        <f>(A14-B14)/C14/2</f>
        <v>3.8</v>
      </c>
      <c r="E14" s="6">
        <v>3.925E-2</v>
      </c>
      <c r="F14" s="5">
        <v>52.3</v>
      </c>
      <c r="G14" s="1">
        <v>4</v>
      </c>
      <c r="H14" s="1">
        <v>435</v>
      </c>
      <c r="I14" s="1">
        <v>515</v>
      </c>
      <c r="J14" s="1">
        <v>0</v>
      </c>
      <c r="K14" s="1">
        <v>0</v>
      </c>
      <c r="L14" s="1">
        <v>0</v>
      </c>
      <c r="M14" s="1">
        <v>120</v>
      </c>
      <c r="N14" s="1">
        <v>10</v>
      </c>
      <c r="O14" s="1">
        <v>30</v>
      </c>
      <c r="P14" s="8">
        <v>402</v>
      </c>
    </row>
    <row r="15" spans="1:16" s="2" customFormat="1" ht="15" x14ac:dyDescent="0.2">
      <c r="A15" s="1">
        <v>860</v>
      </c>
      <c r="B15" s="1">
        <v>100</v>
      </c>
      <c r="C15" s="1">
        <v>100</v>
      </c>
      <c r="D15" s="7">
        <f>(A15-B15)/C15/2</f>
        <v>3.8</v>
      </c>
      <c r="E15" s="6">
        <v>0</v>
      </c>
      <c r="F15" s="5">
        <v>52.3</v>
      </c>
      <c r="G15" s="1">
        <v>4</v>
      </c>
      <c r="H15" s="1">
        <v>435</v>
      </c>
      <c r="I15" s="1">
        <v>515</v>
      </c>
      <c r="J15" s="1">
        <v>0</v>
      </c>
      <c r="K15" s="1">
        <v>0</v>
      </c>
      <c r="L15" s="1">
        <v>0</v>
      </c>
      <c r="M15" s="1">
        <v>120</v>
      </c>
      <c r="N15" s="1">
        <v>10</v>
      </c>
      <c r="O15" s="1">
        <v>30</v>
      </c>
      <c r="P15" s="8">
        <v>401</v>
      </c>
    </row>
    <row r="16" spans="1:16" ht="15" x14ac:dyDescent="0.2">
      <c r="A16" s="1">
        <v>800</v>
      </c>
      <c r="B16" s="1">
        <v>35</v>
      </c>
      <c r="C16" s="1">
        <v>100</v>
      </c>
      <c r="D16" s="7">
        <f>(A16-B16)/C16/2</f>
        <v>3.8250000000000002</v>
      </c>
      <c r="E16" s="6">
        <v>0</v>
      </c>
      <c r="F16" s="5">
        <f t="shared" si="0"/>
        <v>114.285</v>
      </c>
      <c r="G16" s="1">
        <v>8</v>
      </c>
      <c r="H16" s="1">
        <v>445.5</v>
      </c>
      <c r="I16" s="1">
        <v>589.1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8">
        <v>217</v>
      </c>
    </row>
    <row r="17" spans="1:16" s="2" customFormat="1" ht="15" x14ac:dyDescent="0.2">
      <c r="A17" s="1">
        <v>800</v>
      </c>
      <c r="B17" s="1">
        <v>35</v>
      </c>
      <c r="C17" s="1">
        <v>100</v>
      </c>
      <c r="D17" s="7">
        <f t="shared" si="1"/>
        <v>3.8250000000000002</v>
      </c>
      <c r="E17" s="6">
        <v>0</v>
      </c>
      <c r="F17" s="5">
        <f t="shared" si="0"/>
        <v>114.285</v>
      </c>
      <c r="G17" s="1">
        <v>0</v>
      </c>
      <c r="H17" s="1">
        <v>445.5</v>
      </c>
      <c r="I17" s="1">
        <v>589.1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8">
        <v>35.5</v>
      </c>
    </row>
    <row r="18" spans="1:16" s="2" customFormat="1" ht="15" x14ac:dyDescent="0.2">
      <c r="A18" s="1">
        <v>800</v>
      </c>
      <c r="B18" s="1">
        <v>50</v>
      </c>
      <c r="C18" s="1">
        <v>100</v>
      </c>
      <c r="D18" s="7">
        <f>(A18-B18)/C18/2</f>
        <v>3.75</v>
      </c>
      <c r="E18" s="6">
        <v>0</v>
      </c>
      <c r="F18" s="5">
        <f t="shared" si="0"/>
        <v>114.285</v>
      </c>
      <c r="G18" s="1">
        <v>0</v>
      </c>
      <c r="H18" s="1">
        <v>445.5</v>
      </c>
      <c r="I18" s="1">
        <v>589.1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8">
        <v>60.4</v>
      </c>
    </row>
  </sheetData>
  <sortState xmlns:xlrd2="http://schemas.microsoft.com/office/spreadsheetml/2017/richdata2" ref="A1:P19">
    <sortCondition descending="1" ref="D1:D19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Tang</dc:creator>
  <cp:lastModifiedBy>Jia Tang</cp:lastModifiedBy>
  <dcterms:created xsi:type="dcterms:W3CDTF">2025-09-06T14:06:54Z</dcterms:created>
  <dcterms:modified xsi:type="dcterms:W3CDTF">2025-12-03T08:29:27Z</dcterms:modified>
</cp:coreProperties>
</file>