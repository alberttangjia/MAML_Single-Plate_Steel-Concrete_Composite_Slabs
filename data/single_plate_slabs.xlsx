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aiduSyncdisk\pythonProject_MAML\元学习\板柱冲切\Revise\submit\data\"/>
    </mc:Choice>
  </mc:AlternateContent>
  <xr:revisionPtr revIDLastSave="0" documentId="13_ncr:1_{95A446C4-5751-4B91-85A5-E465F2F31B92}" xr6:coauthVersionLast="47" xr6:coauthVersionMax="47" xr10:uidLastSave="{00000000-0000-0000-0000-000000000000}"/>
  <bookViews>
    <workbookView xWindow="6345" yWindow="4725" windowWidth="29640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2" i="1"/>
  <c r="D12" i="1"/>
  <c r="D10" i="1"/>
  <c r="D7" i="1"/>
  <c r="D2" i="1"/>
  <c r="D3" i="1"/>
  <c r="D4" i="1"/>
  <c r="D5" i="1"/>
  <c r="D6" i="1"/>
  <c r="D8" i="1"/>
  <c r="D9" i="1"/>
  <c r="D11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</calcChain>
</file>

<file path=xl/sharedStrings.xml><?xml version="1.0" encoding="utf-8"?>
<sst xmlns="http://schemas.openxmlformats.org/spreadsheetml/2006/main" count="16" uniqueCount="16">
  <si>
    <t>rho</t>
  </si>
  <si>
    <t>fy_bot</t>
  </si>
  <si>
    <t>L1</t>
    <phoneticPr fontId="2" type="noConversion"/>
  </si>
  <si>
    <t>h0</t>
    <phoneticPr fontId="2" type="noConversion"/>
  </si>
  <si>
    <t>c/R</t>
    <phoneticPr fontId="2" type="noConversion"/>
  </si>
  <si>
    <t>fcu</t>
    <phoneticPr fontId="2" type="noConversion"/>
  </si>
  <si>
    <t>t_bot</t>
    <phoneticPr fontId="2" type="noConversion"/>
  </si>
  <si>
    <t>t_top</t>
    <phoneticPr fontId="2" type="noConversion"/>
  </si>
  <si>
    <t>fy_top</t>
    <phoneticPr fontId="2" type="noConversion"/>
  </si>
  <si>
    <t>stud_space</t>
    <phoneticPr fontId="2" type="noConversion"/>
  </si>
  <si>
    <t>stud_D</t>
    <phoneticPr fontId="2" type="noConversion"/>
  </si>
  <si>
    <t>stud_height</t>
    <phoneticPr fontId="2" type="noConversion"/>
  </si>
  <si>
    <t>fu_bot</t>
    <phoneticPr fontId="2" type="noConversion"/>
  </si>
  <si>
    <t>fu_top</t>
    <phoneticPr fontId="2" type="noConversion"/>
  </si>
  <si>
    <t>CKB</t>
    <phoneticPr fontId="2" type="noConversion"/>
  </si>
  <si>
    <t>Vu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</si>
</sst>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 0_ "/>
    <numFmt numFmtId="177" formatCode="0.00000_);[Red]\(0.00000\)"/>
    <numFmt numFmtId="178" formatCode="0.0000_ "/>
    <numFmt numFmtId="179" formatCode="0.0"/>
  </numFmts>
  <fonts count="7" x14ac:knownFonts="1">
    <font>
      <sz val="11"/>
      <color theme="1"/>
      <name val="宋体"/>
      <family val="2"/>
      <scheme val="minor"/>
    </font>
    <font>
      <b/>
      <sz val="11"/>
      <name val="Arial Unicode MS"/>
      <family val="2"/>
      <charset val="134"/>
    </font>
    <font>
      <sz val="9"/>
      <name val="宋体"/>
      <family val="3"/>
      <charset val="134"/>
      <scheme val="minor"/>
    </font>
    <font>
      <b/>
      <sz val="12"/>
      <color indexed="8"/>
      <name val="Arial Unicode MS"/>
      <family val="2"/>
      <charset val="134"/>
    </font>
    <font>
      <b/>
      <sz val="11"/>
      <color theme="1"/>
      <name val="Arial Unicode MS"/>
      <family val="2"/>
      <charset val="134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176" fontId="6" fillId="0" borderId="0" xfId="0" applyNumberFormat="1" applyFont="1" applyFill="1" applyAlignment="1">
      <alignment horizontal="center" vertical="top" wrapText="1"/>
    </xf>
    <xf numFmtId="176" fontId="6" fillId="0" borderId="0" xfId="0" applyNumberFormat="1" applyFont="1" applyFill="1" applyAlignment="1">
      <alignment horizontal="center" vertical="center" wrapText="1"/>
    </xf>
    <xf numFmtId="0" fontId="5" fillId="0" borderId="0" xfId="0" applyFont="1" applyFill="1"/>
    <xf numFmtId="0" fontId="0" fillId="0" borderId="0" xfId="0" applyFill="1"/>
    <xf numFmtId="177" fontId="5" fillId="0" borderId="0" xfId="0" applyNumberFormat="1" applyFont="1" applyFill="1" applyAlignment="1">
      <alignment horizontal="center" vertical="center"/>
    </xf>
    <xf numFmtId="178" fontId="5" fillId="0" borderId="0" xfId="0" applyNumberFormat="1" applyFont="1" applyFill="1" applyAlignment="1">
      <alignment vertical="center"/>
    </xf>
    <xf numFmtId="179" fontId="5" fillId="0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zoomScale="85" zoomScaleNormal="85" workbookViewId="0">
      <pane ySplit="1" topLeftCell="A2" activePane="bottomLeft" state="frozen"/>
      <selection pane="bottomLeft" activeCell="K11" sqref="K11"/>
    </sheetView>
  </sheetViews>
  <sheetFormatPr defaultColWidth="8.75" defaultRowHeight="13.5" x14ac:dyDescent="0.15"/>
  <cols>
    <col min="1" max="4" width="8.75" style="4"/>
    <col min="5" max="5" width="12.5" style="4" customWidth="1"/>
    <col min="6" max="16384" width="8.75" style="4"/>
  </cols>
  <sheetData>
    <row r="1" spans="1:17" ht="17.25" x14ac:dyDescent="0.3">
      <c r="A1" s="1" t="s">
        <v>2</v>
      </c>
      <c r="B1" s="1" t="s">
        <v>3</v>
      </c>
      <c r="C1" s="1" t="s">
        <v>4</v>
      </c>
      <c r="D1" s="1" t="s">
        <v>14</v>
      </c>
      <c r="E1" s="1" t="s">
        <v>0</v>
      </c>
      <c r="F1" s="2" t="s">
        <v>5</v>
      </c>
      <c r="G1" s="1" t="s">
        <v>6</v>
      </c>
      <c r="H1" s="1" t="s">
        <v>1</v>
      </c>
      <c r="I1" s="1" t="s">
        <v>12</v>
      </c>
      <c r="J1" s="1" t="s">
        <v>7</v>
      </c>
      <c r="K1" s="1" t="s">
        <v>8</v>
      </c>
      <c r="L1" s="1" t="s">
        <v>13</v>
      </c>
      <c r="M1" s="1" t="s">
        <v>9</v>
      </c>
      <c r="N1" s="1" t="s">
        <v>10</v>
      </c>
      <c r="O1" s="3" t="s">
        <v>11</v>
      </c>
      <c r="P1" s="1" t="s">
        <v>15</v>
      </c>
    </row>
    <row r="2" spans="1:17" ht="15" x14ac:dyDescent="0.15">
      <c r="A2" s="5">
        <v>800</v>
      </c>
      <c r="B2" s="5">
        <v>75</v>
      </c>
      <c r="C2" s="5">
        <v>100</v>
      </c>
      <c r="D2" s="12">
        <f t="shared" ref="D2:D46" si="0">(A2-B2)/C2/2</f>
        <v>3.625</v>
      </c>
      <c r="E2" s="11">
        <v>0</v>
      </c>
      <c r="F2" s="13">
        <f>120.3*0.95</f>
        <v>114.285</v>
      </c>
      <c r="G2" s="5">
        <v>8</v>
      </c>
      <c r="H2" s="5">
        <v>445.5</v>
      </c>
      <c r="I2" s="5">
        <v>589.1</v>
      </c>
      <c r="J2" s="5">
        <v>0</v>
      </c>
      <c r="K2" s="5">
        <v>0</v>
      </c>
      <c r="L2" s="5">
        <v>0</v>
      </c>
      <c r="M2" s="5">
        <v>200</v>
      </c>
      <c r="N2" s="5">
        <v>13</v>
      </c>
      <c r="O2" s="5">
        <v>60</v>
      </c>
      <c r="P2" s="13">
        <v>455.2</v>
      </c>
      <c r="Q2" s="5"/>
    </row>
    <row r="3" spans="1:17" ht="15" x14ac:dyDescent="0.15">
      <c r="A3" s="5">
        <v>800</v>
      </c>
      <c r="B3" s="5">
        <v>75</v>
      </c>
      <c r="C3" s="5">
        <v>80</v>
      </c>
      <c r="D3" s="12">
        <f t="shared" si="0"/>
        <v>4.53125</v>
      </c>
      <c r="E3" s="11">
        <v>0</v>
      </c>
      <c r="F3" s="13">
        <f t="shared" ref="F3:F12" si="1">120.3*0.95</f>
        <v>114.285</v>
      </c>
      <c r="G3" s="5">
        <v>8</v>
      </c>
      <c r="H3" s="5">
        <v>445.5</v>
      </c>
      <c r="I3" s="5">
        <v>589.1</v>
      </c>
      <c r="J3" s="5">
        <v>0</v>
      </c>
      <c r="K3" s="5">
        <v>0</v>
      </c>
      <c r="L3" s="5">
        <v>0</v>
      </c>
      <c r="M3" s="5">
        <v>200</v>
      </c>
      <c r="N3" s="5">
        <v>13</v>
      </c>
      <c r="O3" s="5">
        <v>60</v>
      </c>
      <c r="P3" s="13">
        <v>368.2</v>
      </c>
      <c r="Q3" s="5"/>
    </row>
    <row r="4" spans="1:17" ht="15" x14ac:dyDescent="0.15">
      <c r="A4" s="5">
        <v>800</v>
      </c>
      <c r="B4" s="5">
        <v>75</v>
      </c>
      <c r="C4" s="5">
        <v>125</v>
      </c>
      <c r="D4" s="12">
        <f t="shared" si="0"/>
        <v>2.9</v>
      </c>
      <c r="E4" s="11">
        <v>0</v>
      </c>
      <c r="F4" s="13">
        <f t="shared" si="1"/>
        <v>114.285</v>
      </c>
      <c r="G4" s="5">
        <v>8</v>
      </c>
      <c r="H4" s="5">
        <v>445.5</v>
      </c>
      <c r="I4" s="5">
        <v>589.1</v>
      </c>
      <c r="J4" s="5">
        <v>0</v>
      </c>
      <c r="K4" s="5">
        <v>0</v>
      </c>
      <c r="L4" s="5">
        <v>0</v>
      </c>
      <c r="M4" s="5">
        <v>200</v>
      </c>
      <c r="N4" s="5">
        <v>13</v>
      </c>
      <c r="O4" s="5">
        <v>60</v>
      </c>
      <c r="P4" s="13">
        <v>493.5</v>
      </c>
      <c r="Q4" s="5"/>
    </row>
    <row r="5" spans="1:17" ht="15" x14ac:dyDescent="0.15">
      <c r="A5" s="5">
        <v>800</v>
      </c>
      <c r="B5" s="5">
        <v>75</v>
      </c>
      <c r="C5" s="5">
        <v>100</v>
      </c>
      <c r="D5" s="12">
        <f t="shared" si="0"/>
        <v>3.625</v>
      </c>
      <c r="E5" s="11">
        <v>0</v>
      </c>
      <c r="F5" s="13">
        <f t="shared" si="1"/>
        <v>114.285</v>
      </c>
      <c r="G5" s="5">
        <v>12</v>
      </c>
      <c r="H5" s="5">
        <v>445.5</v>
      </c>
      <c r="I5" s="5">
        <v>589.1</v>
      </c>
      <c r="J5" s="5">
        <v>0</v>
      </c>
      <c r="K5" s="5">
        <v>0</v>
      </c>
      <c r="L5" s="5">
        <v>0</v>
      </c>
      <c r="M5" s="5">
        <v>200</v>
      </c>
      <c r="N5" s="5">
        <v>13</v>
      </c>
      <c r="O5" s="5">
        <v>60</v>
      </c>
      <c r="P5" s="13">
        <v>511.1</v>
      </c>
      <c r="Q5" s="5"/>
    </row>
    <row r="6" spans="1:17" ht="15" x14ac:dyDescent="0.15">
      <c r="A6" s="5">
        <v>800</v>
      </c>
      <c r="B6" s="5">
        <v>75</v>
      </c>
      <c r="C6" s="5">
        <v>100</v>
      </c>
      <c r="D6" s="12">
        <f t="shared" si="0"/>
        <v>3.625</v>
      </c>
      <c r="E6" s="11">
        <v>0</v>
      </c>
      <c r="F6" s="13">
        <f t="shared" si="1"/>
        <v>114.285</v>
      </c>
      <c r="G6" s="5">
        <v>10</v>
      </c>
      <c r="H6" s="5">
        <v>445.5</v>
      </c>
      <c r="I6" s="5">
        <v>589.1</v>
      </c>
      <c r="J6" s="5">
        <v>0</v>
      </c>
      <c r="K6" s="5">
        <v>0</v>
      </c>
      <c r="L6" s="5">
        <v>0</v>
      </c>
      <c r="M6" s="5">
        <v>200</v>
      </c>
      <c r="N6" s="5">
        <v>13</v>
      </c>
      <c r="O6" s="5">
        <v>60</v>
      </c>
      <c r="P6" s="13">
        <v>464.5</v>
      </c>
      <c r="Q6" s="5"/>
    </row>
    <row r="7" spans="1:17" s="6" customFormat="1" ht="15" x14ac:dyDescent="0.15">
      <c r="A7" s="5">
        <v>800</v>
      </c>
      <c r="B7" s="5">
        <v>75</v>
      </c>
      <c r="C7" s="5">
        <v>100</v>
      </c>
      <c r="D7" s="12">
        <f t="shared" si="0"/>
        <v>3.625</v>
      </c>
      <c r="E7" s="11">
        <v>0</v>
      </c>
      <c r="F7" s="13">
        <f t="shared" si="1"/>
        <v>114.285</v>
      </c>
      <c r="G7" s="5">
        <v>0</v>
      </c>
      <c r="H7" s="5">
        <v>445.5</v>
      </c>
      <c r="I7" s="5">
        <v>589.1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13">
        <v>121.2</v>
      </c>
    </row>
    <row r="8" spans="1:17" ht="15" x14ac:dyDescent="0.15">
      <c r="A8" s="5">
        <v>800</v>
      </c>
      <c r="B8" s="5">
        <v>50</v>
      </c>
      <c r="C8" s="5">
        <v>100</v>
      </c>
      <c r="D8" s="12">
        <f t="shared" si="0"/>
        <v>3.75</v>
      </c>
      <c r="E8" s="11">
        <v>0</v>
      </c>
      <c r="F8" s="13">
        <f t="shared" si="1"/>
        <v>114.285</v>
      </c>
      <c r="G8" s="5">
        <v>8</v>
      </c>
      <c r="H8" s="5">
        <v>445.5</v>
      </c>
      <c r="I8" s="5">
        <v>589.1</v>
      </c>
      <c r="J8" s="5">
        <v>0</v>
      </c>
      <c r="K8" s="5">
        <v>0</v>
      </c>
      <c r="L8" s="5">
        <v>0</v>
      </c>
      <c r="M8" s="5">
        <v>200</v>
      </c>
      <c r="N8" s="5">
        <v>13</v>
      </c>
      <c r="O8" s="5">
        <v>35</v>
      </c>
      <c r="P8" s="13">
        <v>284.5</v>
      </c>
      <c r="Q8" s="5"/>
    </row>
    <row r="9" spans="1:17" ht="15" x14ac:dyDescent="0.15">
      <c r="A9" s="5">
        <v>800</v>
      </c>
      <c r="B9" s="5">
        <v>50</v>
      </c>
      <c r="C9" s="5">
        <v>100</v>
      </c>
      <c r="D9" s="12">
        <f t="shared" si="0"/>
        <v>3.75</v>
      </c>
      <c r="E9" s="11">
        <v>0</v>
      </c>
      <c r="F9" s="13">
        <f t="shared" si="1"/>
        <v>114.285</v>
      </c>
      <c r="G9" s="5">
        <v>12</v>
      </c>
      <c r="H9" s="5">
        <v>445.5</v>
      </c>
      <c r="I9" s="5">
        <v>589.1</v>
      </c>
      <c r="J9" s="5">
        <v>0</v>
      </c>
      <c r="K9" s="5">
        <v>0</v>
      </c>
      <c r="L9" s="5">
        <v>0</v>
      </c>
      <c r="M9" s="5">
        <v>200</v>
      </c>
      <c r="N9" s="5">
        <v>13</v>
      </c>
      <c r="O9" s="5">
        <v>35</v>
      </c>
      <c r="P9" s="13">
        <v>307.39999999999998</v>
      </c>
      <c r="Q9" s="5"/>
    </row>
    <row r="10" spans="1:17" s="6" customFormat="1" ht="15" x14ac:dyDescent="0.15">
      <c r="A10" s="5">
        <v>800</v>
      </c>
      <c r="B10" s="5">
        <v>50</v>
      </c>
      <c r="C10" s="5">
        <v>100</v>
      </c>
      <c r="D10" s="12">
        <f t="shared" si="0"/>
        <v>3.75</v>
      </c>
      <c r="E10" s="11">
        <v>0</v>
      </c>
      <c r="F10" s="13">
        <f t="shared" si="1"/>
        <v>114.285</v>
      </c>
      <c r="G10" s="5">
        <v>0</v>
      </c>
      <c r="H10" s="5">
        <v>445.5</v>
      </c>
      <c r="I10" s="5">
        <v>589.1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13">
        <v>60.4</v>
      </c>
    </row>
    <row r="11" spans="1:17" ht="15" x14ac:dyDescent="0.15">
      <c r="A11" s="5">
        <v>800</v>
      </c>
      <c r="B11" s="5">
        <v>35</v>
      </c>
      <c r="C11" s="5">
        <v>100</v>
      </c>
      <c r="D11" s="12">
        <f t="shared" si="0"/>
        <v>3.8250000000000002</v>
      </c>
      <c r="E11" s="11">
        <v>0</v>
      </c>
      <c r="F11" s="13">
        <f t="shared" si="1"/>
        <v>114.285</v>
      </c>
      <c r="G11" s="5">
        <v>8</v>
      </c>
      <c r="H11" s="5">
        <v>445.5</v>
      </c>
      <c r="I11" s="5">
        <v>589.1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13">
        <v>217</v>
      </c>
      <c r="Q11" s="5"/>
    </row>
    <row r="12" spans="1:17" s="6" customFormat="1" ht="15" x14ac:dyDescent="0.15">
      <c r="A12" s="5">
        <v>800</v>
      </c>
      <c r="B12" s="5">
        <v>35</v>
      </c>
      <c r="C12" s="5">
        <v>100</v>
      </c>
      <c r="D12" s="12">
        <f t="shared" si="0"/>
        <v>3.8250000000000002</v>
      </c>
      <c r="E12" s="11">
        <v>0</v>
      </c>
      <c r="F12" s="13">
        <f t="shared" si="1"/>
        <v>114.285</v>
      </c>
      <c r="G12" s="5">
        <v>0</v>
      </c>
      <c r="H12" s="5">
        <v>445.5</v>
      </c>
      <c r="I12" s="5">
        <v>589.1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13">
        <v>35.5</v>
      </c>
    </row>
    <row r="13" spans="1:17" ht="15" x14ac:dyDescent="0.15">
      <c r="A13" s="5">
        <v>860</v>
      </c>
      <c r="B13" s="5">
        <v>100</v>
      </c>
      <c r="C13" s="5">
        <v>100</v>
      </c>
      <c r="D13" s="12">
        <f t="shared" si="0"/>
        <v>3.8</v>
      </c>
      <c r="E13" s="11">
        <v>0</v>
      </c>
      <c r="F13" s="13">
        <v>55.2</v>
      </c>
      <c r="G13" s="5">
        <v>4</v>
      </c>
      <c r="H13" s="5">
        <v>435</v>
      </c>
      <c r="I13" s="5">
        <v>515</v>
      </c>
      <c r="J13" s="5">
        <v>0</v>
      </c>
      <c r="K13" s="5">
        <v>0</v>
      </c>
      <c r="L13" s="5">
        <v>0</v>
      </c>
      <c r="M13" s="5">
        <v>120</v>
      </c>
      <c r="N13" s="5">
        <v>10</v>
      </c>
      <c r="O13" s="5">
        <v>30</v>
      </c>
      <c r="P13" s="13">
        <v>392</v>
      </c>
      <c r="Q13" s="5"/>
    </row>
    <row r="14" spans="1:17" ht="15" x14ac:dyDescent="0.15">
      <c r="A14" s="5">
        <v>860</v>
      </c>
      <c r="B14" s="5">
        <v>100</v>
      </c>
      <c r="C14" s="5">
        <v>100</v>
      </c>
      <c r="D14" s="12">
        <f t="shared" si="0"/>
        <v>3.8</v>
      </c>
      <c r="E14" s="11">
        <v>3.925E-2</v>
      </c>
      <c r="F14" s="13">
        <v>55.2</v>
      </c>
      <c r="G14" s="5">
        <v>4</v>
      </c>
      <c r="H14" s="5">
        <v>435</v>
      </c>
      <c r="I14" s="5">
        <v>515</v>
      </c>
      <c r="J14" s="5">
        <v>0</v>
      </c>
      <c r="K14" s="5">
        <v>0</v>
      </c>
      <c r="L14" s="5">
        <v>0</v>
      </c>
      <c r="M14" s="5">
        <v>120</v>
      </c>
      <c r="N14" s="5">
        <v>10</v>
      </c>
      <c r="O14" s="5">
        <v>30</v>
      </c>
      <c r="P14" s="13">
        <v>411</v>
      </c>
      <c r="Q14" s="5"/>
    </row>
    <row r="15" spans="1:17" ht="15" x14ac:dyDescent="0.15">
      <c r="A15" s="5">
        <v>860</v>
      </c>
      <c r="B15" s="5">
        <v>100</v>
      </c>
      <c r="C15" s="5">
        <v>100</v>
      </c>
      <c r="D15" s="12">
        <f t="shared" si="0"/>
        <v>3.8</v>
      </c>
      <c r="E15" s="11">
        <v>3.925E-2</v>
      </c>
      <c r="F15" s="13">
        <v>55.2</v>
      </c>
      <c r="G15" s="5">
        <v>3</v>
      </c>
      <c r="H15" s="5">
        <v>435</v>
      </c>
      <c r="I15" s="5">
        <v>515</v>
      </c>
      <c r="J15" s="5">
        <v>0</v>
      </c>
      <c r="K15" s="5">
        <v>0</v>
      </c>
      <c r="L15" s="5">
        <v>0</v>
      </c>
      <c r="M15" s="5">
        <v>120</v>
      </c>
      <c r="N15" s="5">
        <v>10</v>
      </c>
      <c r="O15" s="5">
        <v>30</v>
      </c>
      <c r="P15" s="13">
        <v>372</v>
      </c>
      <c r="Q15" s="5"/>
    </row>
    <row r="16" spans="1:17" ht="15" x14ac:dyDescent="0.15">
      <c r="A16" s="5">
        <v>860</v>
      </c>
      <c r="B16" s="5">
        <v>100</v>
      </c>
      <c r="C16" s="5">
        <v>100</v>
      </c>
      <c r="D16" s="12">
        <f t="shared" si="0"/>
        <v>3.8</v>
      </c>
      <c r="E16" s="11">
        <v>3.925E-2</v>
      </c>
      <c r="F16" s="13">
        <v>55.2</v>
      </c>
      <c r="G16" s="5">
        <v>4</v>
      </c>
      <c r="H16" s="5">
        <v>435</v>
      </c>
      <c r="I16" s="5">
        <v>515</v>
      </c>
      <c r="J16" s="5">
        <v>0</v>
      </c>
      <c r="K16" s="5">
        <v>0</v>
      </c>
      <c r="L16" s="5">
        <v>0</v>
      </c>
      <c r="M16" s="5">
        <v>240</v>
      </c>
      <c r="N16" s="5">
        <v>10</v>
      </c>
      <c r="O16" s="5">
        <v>30</v>
      </c>
      <c r="P16" s="13">
        <v>334</v>
      </c>
      <c r="Q16" s="5"/>
    </row>
    <row r="17" spans="1:17" ht="15" x14ac:dyDescent="0.15">
      <c r="A17" s="5">
        <v>860</v>
      </c>
      <c r="B17" s="5">
        <v>100</v>
      </c>
      <c r="C17" s="5">
        <v>100</v>
      </c>
      <c r="D17" s="12">
        <f t="shared" si="0"/>
        <v>3.8</v>
      </c>
      <c r="E17" s="11">
        <v>0</v>
      </c>
      <c r="F17" s="13">
        <v>52.3</v>
      </c>
      <c r="G17" s="5">
        <v>4</v>
      </c>
      <c r="H17" s="5">
        <v>435</v>
      </c>
      <c r="I17" s="5">
        <v>515</v>
      </c>
      <c r="J17" s="5">
        <v>0</v>
      </c>
      <c r="K17" s="5">
        <v>0</v>
      </c>
      <c r="L17" s="5">
        <v>0</v>
      </c>
      <c r="M17" s="5">
        <v>120</v>
      </c>
      <c r="N17" s="5">
        <v>10</v>
      </c>
      <c r="O17" s="5">
        <v>30</v>
      </c>
      <c r="P17" s="13">
        <v>401</v>
      </c>
      <c r="Q17" s="5"/>
    </row>
    <row r="18" spans="1:17" ht="15" x14ac:dyDescent="0.15">
      <c r="A18" s="5">
        <v>860</v>
      </c>
      <c r="B18" s="5">
        <v>100</v>
      </c>
      <c r="C18" s="5">
        <v>100</v>
      </c>
      <c r="D18" s="12">
        <f t="shared" si="0"/>
        <v>3.8</v>
      </c>
      <c r="E18" s="11">
        <v>3.925E-2</v>
      </c>
      <c r="F18" s="13">
        <v>52.3</v>
      </c>
      <c r="G18" s="5">
        <v>4</v>
      </c>
      <c r="H18" s="5">
        <v>435</v>
      </c>
      <c r="I18" s="5">
        <v>515</v>
      </c>
      <c r="J18" s="5">
        <v>0</v>
      </c>
      <c r="K18" s="5">
        <v>0</v>
      </c>
      <c r="L18" s="5">
        <v>0</v>
      </c>
      <c r="M18" s="5">
        <v>120</v>
      </c>
      <c r="N18" s="5">
        <v>10</v>
      </c>
      <c r="O18" s="5">
        <v>30</v>
      </c>
      <c r="P18" s="13">
        <v>402</v>
      </c>
      <c r="Q18" s="5"/>
    </row>
    <row r="19" spans="1:17" ht="15" x14ac:dyDescent="0.15">
      <c r="A19" s="5">
        <v>860</v>
      </c>
      <c r="B19" s="5">
        <v>150</v>
      </c>
      <c r="C19" s="5">
        <v>155</v>
      </c>
      <c r="D19" s="12">
        <f t="shared" si="0"/>
        <v>2.2903225806451615</v>
      </c>
      <c r="E19" s="11">
        <v>0.33303030303030307</v>
      </c>
      <c r="F19" s="13">
        <v>29.8</v>
      </c>
      <c r="G19" s="5">
        <v>3</v>
      </c>
      <c r="H19" s="5">
        <v>305</v>
      </c>
      <c r="I19" s="5">
        <v>455</v>
      </c>
      <c r="J19" s="5">
        <v>0</v>
      </c>
      <c r="K19" s="5">
        <v>0</v>
      </c>
      <c r="L19" s="5">
        <v>0</v>
      </c>
      <c r="M19" s="5">
        <v>65</v>
      </c>
      <c r="N19" s="5">
        <v>6</v>
      </c>
      <c r="O19" s="5">
        <v>50</v>
      </c>
      <c r="P19" s="13">
        <v>450</v>
      </c>
      <c r="Q19" s="5"/>
    </row>
    <row r="20" spans="1:17" ht="15" x14ac:dyDescent="0.15">
      <c r="A20" s="5">
        <v>1260</v>
      </c>
      <c r="B20" s="5">
        <v>150</v>
      </c>
      <c r="C20" s="5">
        <v>155</v>
      </c>
      <c r="D20" s="12">
        <f t="shared" si="0"/>
        <v>3.5806451612903225</v>
      </c>
      <c r="E20" s="11">
        <v>0.314</v>
      </c>
      <c r="F20" s="13">
        <v>29.8</v>
      </c>
      <c r="G20" s="5">
        <v>3</v>
      </c>
      <c r="H20" s="5">
        <v>305</v>
      </c>
      <c r="I20" s="5">
        <v>455</v>
      </c>
      <c r="J20" s="5">
        <v>0</v>
      </c>
      <c r="K20" s="5">
        <v>0</v>
      </c>
      <c r="L20" s="5">
        <v>0</v>
      </c>
      <c r="M20" s="5">
        <v>65</v>
      </c>
      <c r="N20" s="5">
        <v>6</v>
      </c>
      <c r="O20" s="5">
        <v>50</v>
      </c>
      <c r="P20" s="13">
        <v>539</v>
      </c>
      <c r="Q20" s="5"/>
    </row>
    <row r="21" spans="1:17" ht="15" x14ac:dyDescent="0.15">
      <c r="A21" s="7">
        <v>1260</v>
      </c>
      <c r="B21" s="5">
        <v>100</v>
      </c>
      <c r="C21" s="5">
        <v>155</v>
      </c>
      <c r="D21" s="12">
        <f t="shared" si="0"/>
        <v>3.7419354838709675</v>
      </c>
      <c r="E21" s="11">
        <v>0.50464285714285717</v>
      </c>
      <c r="F21" s="13">
        <v>35</v>
      </c>
      <c r="G21" s="5">
        <v>3</v>
      </c>
      <c r="H21" s="5">
        <v>235</v>
      </c>
      <c r="I21" s="5">
        <v>375</v>
      </c>
      <c r="J21" s="5">
        <v>0</v>
      </c>
      <c r="K21" s="5">
        <v>0</v>
      </c>
      <c r="L21" s="5">
        <v>0</v>
      </c>
      <c r="M21" s="5">
        <v>65</v>
      </c>
      <c r="N21" s="5">
        <v>6</v>
      </c>
      <c r="O21" s="5">
        <v>50</v>
      </c>
      <c r="P21" s="13">
        <v>263.95999999999998</v>
      </c>
      <c r="Q21" s="5"/>
    </row>
    <row r="22" spans="1:17" ht="15" x14ac:dyDescent="0.15">
      <c r="A22" s="7">
        <v>1260</v>
      </c>
      <c r="B22" s="5">
        <v>125</v>
      </c>
      <c r="C22" s="5">
        <v>155</v>
      </c>
      <c r="D22" s="12">
        <f t="shared" si="0"/>
        <v>3.661290322580645</v>
      </c>
      <c r="E22" s="11">
        <v>0.40371428571428569</v>
      </c>
      <c r="F22" s="13">
        <v>35</v>
      </c>
      <c r="G22" s="5">
        <v>3</v>
      </c>
      <c r="H22" s="5">
        <v>235</v>
      </c>
      <c r="I22" s="5">
        <v>375</v>
      </c>
      <c r="J22" s="5">
        <v>0</v>
      </c>
      <c r="K22" s="5">
        <v>0</v>
      </c>
      <c r="L22" s="5">
        <v>0</v>
      </c>
      <c r="M22" s="5">
        <v>65</v>
      </c>
      <c r="N22" s="5">
        <v>6</v>
      </c>
      <c r="O22" s="5">
        <v>50</v>
      </c>
      <c r="P22" s="13">
        <v>389.84</v>
      </c>
      <c r="Q22" s="5"/>
    </row>
    <row r="23" spans="1:17" ht="15" x14ac:dyDescent="0.15">
      <c r="A23" s="8">
        <v>1260</v>
      </c>
      <c r="B23" s="5">
        <v>150</v>
      </c>
      <c r="C23" s="5">
        <v>155</v>
      </c>
      <c r="D23" s="12">
        <f t="shared" si="0"/>
        <v>3.5806451612903225</v>
      </c>
      <c r="E23" s="11">
        <v>0.33642857142857147</v>
      </c>
      <c r="F23" s="13">
        <v>35</v>
      </c>
      <c r="G23" s="5">
        <v>3</v>
      </c>
      <c r="H23" s="5">
        <v>235</v>
      </c>
      <c r="I23" s="5">
        <v>375</v>
      </c>
      <c r="J23" s="5">
        <v>0</v>
      </c>
      <c r="K23" s="5">
        <v>0</v>
      </c>
      <c r="L23" s="5">
        <v>0</v>
      </c>
      <c r="M23" s="5">
        <v>65</v>
      </c>
      <c r="N23" s="5">
        <v>6</v>
      </c>
      <c r="O23" s="5">
        <v>50</v>
      </c>
      <c r="P23" s="13">
        <v>510.17</v>
      </c>
      <c r="Q23" s="5"/>
    </row>
    <row r="24" spans="1:17" ht="15" x14ac:dyDescent="0.15">
      <c r="A24" s="8">
        <v>1260</v>
      </c>
      <c r="B24" s="5">
        <v>175</v>
      </c>
      <c r="C24" s="5">
        <v>155</v>
      </c>
      <c r="D24" s="12">
        <f t="shared" si="0"/>
        <v>3.5</v>
      </c>
      <c r="E24" s="11">
        <v>0.28836734693877553</v>
      </c>
      <c r="F24" s="13">
        <v>35</v>
      </c>
      <c r="G24" s="5">
        <v>3</v>
      </c>
      <c r="H24" s="5">
        <v>235</v>
      </c>
      <c r="I24" s="5">
        <v>375</v>
      </c>
      <c r="J24" s="5">
        <v>0</v>
      </c>
      <c r="K24" s="5">
        <v>0</v>
      </c>
      <c r="L24" s="5">
        <v>0</v>
      </c>
      <c r="M24" s="5">
        <v>65</v>
      </c>
      <c r="N24" s="5">
        <v>6</v>
      </c>
      <c r="O24" s="5">
        <v>50</v>
      </c>
      <c r="P24" s="13">
        <v>624.04</v>
      </c>
      <c r="Q24" s="5"/>
    </row>
    <row r="25" spans="1:17" ht="15" x14ac:dyDescent="0.15">
      <c r="A25" s="8">
        <v>1260</v>
      </c>
      <c r="B25" s="5">
        <v>150</v>
      </c>
      <c r="C25" s="5">
        <v>155</v>
      </c>
      <c r="D25" s="12">
        <f t="shared" si="0"/>
        <v>3.5806451612903225</v>
      </c>
      <c r="E25" s="11">
        <v>0.33642857142857147</v>
      </c>
      <c r="F25" s="13">
        <v>30</v>
      </c>
      <c r="G25" s="5">
        <v>3</v>
      </c>
      <c r="H25" s="5">
        <v>235</v>
      </c>
      <c r="I25" s="4">
        <v>375</v>
      </c>
      <c r="J25" s="5">
        <v>0</v>
      </c>
      <c r="K25" s="5">
        <v>0</v>
      </c>
      <c r="L25" s="5">
        <v>0</v>
      </c>
      <c r="M25" s="5">
        <v>65</v>
      </c>
      <c r="N25" s="5">
        <v>6</v>
      </c>
      <c r="O25" s="5">
        <v>50</v>
      </c>
      <c r="P25" s="13">
        <v>475.43</v>
      </c>
      <c r="Q25" s="5"/>
    </row>
    <row r="26" spans="1:17" ht="15" x14ac:dyDescent="0.15">
      <c r="A26" s="8">
        <v>1260</v>
      </c>
      <c r="B26" s="5">
        <v>150</v>
      </c>
      <c r="C26" s="5">
        <v>155</v>
      </c>
      <c r="D26" s="12">
        <f t="shared" si="0"/>
        <v>3.5806451612903225</v>
      </c>
      <c r="E26" s="11">
        <v>0.33642857142857147</v>
      </c>
      <c r="F26" s="13">
        <v>35</v>
      </c>
      <c r="G26" s="5">
        <v>3</v>
      </c>
      <c r="H26" s="5">
        <v>235</v>
      </c>
      <c r="I26" s="4">
        <v>375</v>
      </c>
      <c r="J26" s="5">
        <v>0</v>
      </c>
      <c r="K26" s="5">
        <v>0</v>
      </c>
      <c r="L26" s="5">
        <v>0</v>
      </c>
      <c r="M26" s="5">
        <v>65</v>
      </c>
      <c r="N26" s="5">
        <v>6</v>
      </c>
      <c r="O26" s="5">
        <v>50</v>
      </c>
      <c r="P26" s="13">
        <v>510.17</v>
      </c>
      <c r="Q26" s="5"/>
    </row>
    <row r="27" spans="1:17" ht="15" x14ac:dyDescent="0.15">
      <c r="A27" s="8">
        <v>1260</v>
      </c>
      <c r="B27" s="5">
        <v>150</v>
      </c>
      <c r="C27" s="5">
        <v>155</v>
      </c>
      <c r="D27" s="12">
        <f t="shared" si="0"/>
        <v>3.5806451612903225</v>
      </c>
      <c r="E27" s="11">
        <v>0.33642857142857147</v>
      </c>
      <c r="F27" s="13">
        <v>40</v>
      </c>
      <c r="G27" s="5">
        <v>3</v>
      </c>
      <c r="H27" s="5">
        <v>235</v>
      </c>
      <c r="I27" s="4">
        <v>375</v>
      </c>
      <c r="J27" s="5">
        <v>0</v>
      </c>
      <c r="K27" s="5">
        <v>0</v>
      </c>
      <c r="L27" s="5">
        <v>0</v>
      </c>
      <c r="M27" s="5">
        <v>65</v>
      </c>
      <c r="N27" s="5">
        <v>6</v>
      </c>
      <c r="O27" s="5">
        <v>50</v>
      </c>
      <c r="P27" s="13">
        <v>554.91</v>
      </c>
      <c r="Q27" s="5"/>
    </row>
    <row r="28" spans="1:17" ht="15" x14ac:dyDescent="0.15">
      <c r="A28" s="8">
        <v>1260</v>
      </c>
      <c r="B28" s="5">
        <v>150</v>
      </c>
      <c r="C28" s="5">
        <v>155</v>
      </c>
      <c r="D28" s="12">
        <f t="shared" si="0"/>
        <v>3.5806451612903225</v>
      </c>
      <c r="E28" s="11">
        <v>0.33642857142857147</v>
      </c>
      <c r="F28" s="13">
        <v>45</v>
      </c>
      <c r="G28" s="5">
        <v>3</v>
      </c>
      <c r="H28" s="5">
        <v>235</v>
      </c>
      <c r="I28" s="4">
        <v>375</v>
      </c>
      <c r="J28" s="5">
        <v>0</v>
      </c>
      <c r="K28" s="5">
        <v>0</v>
      </c>
      <c r="L28" s="5">
        <v>0</v>
      </c>
      <c r="M28" s="5">
        <v>65</v>
      </c>
      <c r="N28" s="5">
        <v>6</v>
      </c>
      <c r="O28" s="5">
        <v>50</v>
      </c>
      <c r="P28" s="13">
        <v>587.88</v>
      </c>
      <c r="Q28" s="5"/>
    </row>
    <row r="29" spans="1:17" ht="15" x14ac:dyDescent="0.15">
      <c r="A29" s="8">
        <v>1260</v>
      </c>
      <c r="B29" s="5">
        <v>150</v>
      </c>
      <c r="C29" s="5">
        <v>155</v>
      </c>
      <c r="D29" s="12">
        <f t="shared" si="0"/>
        <v>3.5806451612903225</v>
      </c>
      <c r="E29" s="11">
        <v>0.33642857142857147</v>
      </c>
      <c r="F29" s="13">
        <v>35</v>
      </c>
      <c r="G29" s="5">
        <v>3</v>
      </c>
      <c r="H29" s="5">
        <v>235</v>
      </c>
      <c r="I29" s="4">
        <v>375</v>
      </c>
      <c r="J29" s="5">
        <v>0</v>
      </c>
      <c r="K29" s="5">
        <v>0</v>
      </c>
      <c r="L29" s="5">
        <v>0</v>
      </c>
      <c r="M29" s="5">
        <v>65</v>
      </c>
      <c r="N29" s="5">
        <v>6</v>
      </c>
      <c r="O29" s="5">
        <v>50</v>
      </c>
      <c r="P29" s="13">
        <v>510.17</v>
      </c>
      <c r="Q29" s="5"/>
    </row>
    <row r="30" spans="1:17" ht="15" x14ac:dyDescent="0.15">
      <c r="A30" s="8">
        <v>1260</v>
      </c>
      <c r="B30" s="5">
        <v>150</v>
      </c>
      <c r="C30" s="5">
        <v>155</v>
      </c>
      <c r="D30" s="12">
        <f t="shared" si="0"/>
        <v>3.5806451612903225</v>
      </c>
      <c r="E30" s="11">
        <v>0.33642857142857147</v>
      </c>
      <c r="F30" s="13">
        <v>35</v>
      </c>
      <c r="G30" s="5">
        <v>5</v>
      </c>
      <c r="H30" s="5">
        <v>235</v>
      </c>
      <c r="I30" s="4">
        <v>375</v>
      </c>
      <c r="J30" s="5">
        <v>0</v>
      </c>
      <c r="K30" s="5">
        <v>0</v>
      </c>
      <c r="L30" s="5">
        <v>0</v>
      </c>
      <c r="M30" s="5">
        <v>65</v>
      </c>
      <c r="N30" s="5">
        <v>6</v>
      </c>
      <c r="O30" s="5">
        <v>50</v>
      </c>
      <c r="P30" s="13">
        <v>521.88</v>
      </c>
      <c r="Q30" s="5"/>
    </row>
    <row r="31" spans="1:17" ht="15" x14ac:dyDescent="0.15">
      <c r="A31" s="8">
        <v>1260</v>
      </c>
      <c r="B31" s="5">
        <v>150</v>
      </c>
      <c r="C31" s="5">
        <v>155</v>
      </c>
      <c r="D31" s="12">
        <f t="shared" si="0"/>
        <v>3.5806451612903225</v>
      </c>
      <c r="E31" s="11">
        <v>0.33642857142857147</v>
      </c>
      <c r="F31" s="13">
        <v>35</v>
      </c>
      <c r="G31" s="5">
        <v>7</v>
      </c>
      <c r="H31" s="5">
        <v>235</v>
      </c>
      <c r="I31" s="4">
        <v>375</v>
      </c>
      <c r="J31" s="5">
        <v>0</v>
      </c>
      <c r="K31" s="5">
        <v>0</v>
      </c>
      <c r="L31" s="5">
        <v>0</v>
      </c>
      <c r="M31" s="5">
        <v>65</v>
      </c>
      <c r="N31" s="5">
        <v>6</v>
      </c>
      <c r="O31" s="5">
        <v>50</v>
      </c>
      <c r="P31" s="13">
        <v>529.79999999999995</v>
      </c>
      <c r="Q31" s="5"/>
    </row>
    <row r="32" spans="1:17" ht="15" x14ac:dyDescent="0.15">
      <c r="A32" s="8">
        <v>1260</v>
      </c>
      <c r="B32" s="5">
        <v>150</v>
      </c>
      <c r="C32" s="5">
        <v>155</v>
      </c>
      <c r="D32" s="12">
        <f t="shared" si="0"/>
        <v>3.5806451612903225</v>
      </c>
      <c r="E32" s="11">
        <v>0.33642857142857147</v>
      </c>
      <c r="F32" s="13">
        <v>35</v>
      </c>
      <c r="G32" s="5">
        <v>9</v>
      </c>
      <c r="H32" s="5">
        <v>235</v>
      </c>
      <c r="I32" s="4">
        <v>375</v>
      </c>
      <c r="J32" s="5">
        <v>0</v>
      </c>
      <c r="K32" s="5">
        <v>0</v>
      </c>
      <c r="L32" s="5">
        <v>0</v>
      </c>
      <c r="M32" s="5">
        <v>65</v>
      </c>
      <c r="N32" s="5">
        <v>6</v>
      </c>
      <c r="O32" s="5">
        <v>50</v>
      </c>
      <c r="P32" s="13">
        <v>536.04</v>
      </c>
      <c r="Q32" s="5"/>
    </row>
    <row r="33" spans="1:17" ht="15" x14ac:dyDescent="0.15">
      <c r="A33" s="8">
        <v>1260</v>
      </c>
      <c r="B33" s="5">
        <v>150</v>
      </c>
      <c r="C33" s="5">
        <v>155</v>
      </c>
      <c r="D33" s="12">
        <f t="shared" si="0"/>
        <v>3.5806451612903225</v>
      </c>
      <c r="E33" s="11">
        <v>0.33642857142857147</v>
      </c>
      <c r="F33" s="13">
        <v>35</v>
      </c>
      <c r="G33" s="5">
        <v>3</v>
      </c>
      <c r="H33" s="5">
        <v>235</v>
      </c>
      <c r="I33" s="4">
        <v>375</v>
      </c>
      <c r="J33" s="5">
        <v>0</v>
      </c>
      <c r="K33" s="5">
        <v>0</v>
      </c>
      <c r="L33" s="5">
        <v>0</v>
      </c>
      <c r="M33" s="5">
        <v>65</v>
      </c>
      <c r="N33" s="5">
        <v>6</v>
      </c>
      <c r="O33" s="5">
        <v>50</v>
      </c>
      <c r="P33" s="13">
        <v>510.17</v>
      </c>
      <c r="Q33" s="5"/>
    </row>
    <row r="34" spans="1:17" ht="15" x14ac:dyDescent="0.15">
      <c r="A34" s="8">
        <v>1260</v>
      </c>
      <c r="B34" s="5">
        <v>150</v>
      </c>
      <c r="C34" s="5">
        <v>155</v>
      </c>
      <c r="D34" s="12">
        <f t="shared" si="0"/>
        <v>3.5806451612903225</v>
      </c>
      <c r="E34" s="11">
        <v>0.33642857142857147</v>
      </c>
      <c r="F34" s="13">
        <v>35</v>
      </c>
      <c r="G34" s="5">
        <v>3</v>
      </c>
      <c r="H34" s="5">
        <v>345</v>
      </c>
      <c r="I34" s="4">
        <v>375</v>
      </c>
      <c r="J34" s="5">
        <v>0</v>
      </c>
      <c r="K34" s="5">
        <v>0</v>
      </c>
      <c r="L34" s="5">
        <v>0</v>
      </c>
      <c r="M34" s="5">
        <v>65</v>
      </c>
      <c r="N34" s="5">
        <v>6</v>
      </c>
      <c r="O34" s="5">
        <v>50</v>
      </c>
      <c r="P34" s="13">
        <v>510.17</v>
      </c>
      <c r="Q34" s="5"/>
    </row>
    <row r="35" spans="1:17" ht="15" x14ac:dyDescent="0.15">
      <c r="A35" s="8">
        <v>1260</v>
      </c>
      <c r="B35" s="5">
        <v>150</v>
      </c>
      <c r="C35" s="5">
        <v>155</v>
      </c>
      <c r="D35" s="12">
        <f t="shared" si="0"/>
        <v>3.5806451612903225</v>
      </c>
      <c r="E35" s="11">
        <v>0.33642857142857147</v>
      </c>
      <c r="F35" s="13">
        <v>35</v>
      </c>
      <c r="G35" s="5">
        <v>3</v>
      </c>
      <c r="H35" s="5">
        <v>235</v>
      </c>
      <c r="I35" s="4">
        <v>470</v>
      </c>
      <c r="J35" s="5">
        <v>0</v>
      </c>
      <c r="K35" s="5">
        <v>0</v>
      </c>
      <c r="L35" s="5">
        <v>0</v>
      </c>
      <c r="M35" s="5">
        <v>65</v>
      </c>
      <c r="N35" s="5">
        <v>6</v>
      </c>
      <c r="O35" s="5">
        <v>50</v>
      </c>
      <c r="P35" s="13">
        <v>510.17</v>
      </c>
      <c r="Q35" s="5"/>
    </row>
    <row r="36" spans="1:17" ht="15" x14ac:dyDescent="0.15">
      <c r="A36" s="8">
        <v>1260</v>
      </c>
      <c r="B36" s="5">
        <v>150</v>
      </c>
      <c r="C36" s="5">
        <v>155</v>
      </c>
      <c r="D36" s="12">
        <f t="shared" si="0"/>
        <v>3.5806451612903225</v>
      </c>
      <c r="E36" s="11">
        <v>0.33642857142857147</v>
      </c>
      <c r="F36" s="13">
        <v>35</v>
      </c>
      <c r="G36" s="5">
        <v>3</v>
      </c>
      <c r="H36" s="5">
        <v>390</v>
      </c>
      <c r="I36" s="4">
        <v>490</v>
      </c>
      <c r="J36" s="5">
        <v>0</v>
      </c>
      <c r="K36" s="5">
        <v>0</v>
      </c>
      <c r="L36" s="5">
        <v>0</v>
      </c>
      <c r="M36" s="5">
        <v>65</v>
      </c>
      <c r="N36" s="5">
        <v>6</v>
      </c>
      <c r="O36" s="5">
        <v>50</v>
      </c>
      <c r="P36" s="13">
        <v>510.17</v>
      </c>
      <c r="Q36" s="5"/>
    </row>
    <row r="37" spans="1:17" ht="15" x14ac:dyDescent="0.15">
      <c r="A37" s="8">
        <v>1260</v>
      </c>
      <c r="B37" s="5">
        <v>150</v>
      </c>
      <c r="C37" s="5">
        <v>155</v>
      </c>
      <c r="D37" s="12">
        <f t="shared" si="0"/>
        <v>3.5806451612903225</v>
      </c>
      <c r="E37" s="11">
        <v>0.33642857142857147</v>
      </c>
      <c r="F37" s="13">
        <v>35</v>
      </c>
      <c r="G37" s="5">
        <v>3</v>
      </c>
      <c r="H37" s="5">
        <v>235</v>
      </c>
      <c r="I37" s="4">
        <v>375</v>
      </c>
      <c r="J37" s="5">
        <v>0</v>
      </c>
      <c r="K37" s="5">
        <v>0</v>
      </c>
      <c r="L37" s="5">
        <v>0</v>
      </c>
      <c r="M37" s="5">
        <v>65</v>
      </c>
      <c r="N37" s="5">
        <v>8</v>
      </c>
      <c r="O37" s="5">
        <v>50</v>
      </c>
      <c r="P37" s="13">
        <v>494.24</v>
      </c>
      <c r="Q37" s="5"/>
    </row>
    <row r="38" spans="1:17" ht="15" x14ac:dyDescent="0.15">
      <c r="A38" s="8">
        <v>1260</v>
      </c>
      <c r="B38" s="5">
        <v>150</v>
      </c>
      <c r="C38" s="5">
        <v>155</v>
      </c>
      <c r="D38" s="12">
        <f t="shared" si="0"/>
        <v>3.5806451612903225</v>
      </c>
      <c r="E38" s="11">
        <v>0.33642857142857147</v>
      </c>
      <c r="F38" s="13">
        <v>35</v>
      </c>
      <c r="G38" s="5">
        <v>3</v>
      </c>
      <c r="H38" s="5">
        <v>235</v>
      </c>
      <c r="I38" s="4">
        <v>375</v>
      </c>
      <c r="J38" s="5">
        <v>0</v>
      </c>
      <c r="K38" s="5">
        <v>0</v>
      </c>
      <c r="L38" s="5">
        <v>0</v>
      </c>
      <c r="M38" s="5">
        <v>65</v>
      </c>
      <c r="N38" s="5">
        <v>10</v>
      </c>
      <c r="O38" s="5">
        <v>50</v>
      </c>
      <c r="P38" s="13">
        <v>512.25</v>
      </c>
      <c r="Q38" s="5"/>
    </row>
    <row r="39" spans="1:17" ht="15" x14ac:dyDescent="0.15">
      <c r="A39" s="8">
        <v>1260</v>
      </c>
      <c r="B39" s="5">
        <v>150</v>
      </c>
      <c r="C39" s="5">
        <v>155</v>
      </c>
      <c r="D39" s="12">
        <f t="shared" si="0"/>
        <v>3.5806451612903225</v>
      </c>
      <c r="E39" s="11">
        <v>0.33642857142857147</v>
      </c>
      <c r="F39" s="13">
        <v>35</v>
      </c>
      <c r="G39" s="5">
        <v>3</v>
      </c>
      <c r="H39" s="5">
        <v>235</v>
      </c>
      <c r="I39" s="4">
        <v>375</v>
      </c>
      <c r="J39" s="5">
        <v>0</v>
      </c>
      <c r="K39" s="5">
        <v>0</v>
      </c>
      <c r="L39" s="5">
        <v>0</v>
      </c>
      <c r="M39" s="5">
        <v>65</v>
      </c>
      <c r="N39" s="5">
        <v>12</v>
      </c>
      <c r="O39" s="5">
        <v>50</v>
      </c>
      <c r="P39" s="13">
        <v>524.23</v>
      </c>
      <c r="Q39" s="5"/>
    </row>
    <row r="40" spans="1:17" ht="15" x14ac:dyDescent="0.15">
      <c r="A40" s="8">
        <v>760</v>
      </c>
      <c r="B40" s="5">
        <v>150</v>
      </c>
      <c r="C40" s="5">
        <v>155</v>
      </c>
      <c r="D40" s="12">
        <f t="shared" si="0"/>
        <v>1.967741935483871</v>
      </c>
      <c r="E40" s="11">
        <v>0.52333333333333343</v>
      </c>
      <c r="F40" s="13">
        <v>35</v>
      </c>
      <c r="G40" s="5">
        <v>3</v>
      </c>
      <c r="H40" s="5">
        <v>235</v>
      </c>
      <c r="I40" s="4">
        <v>375</v>
      </c>
      <c r="J40" s="5">
        <v>0</v>
      </c>
      <c r="K40" s="5">
        <v>0</v>
      </c>
      <c r="L40" s="5">
        <v>0</v>
      </c>
      <c r="M40" s="5">
        <v>65</v>
      </c>
      <c r="N40" s="5">
        <v>6</v>
      </c>
      <c r="O40" s="5">
        <v>50</v>
      </c>
      <c r="P40" s="13">
        <v>560.66</v>
      </c>
      <c r="Q40" s="5"/>
    </row>
    <row r="41" spans="1:17" ht="15" x14ac:dyDescent="0.15">
      <c r="A41" s="8">
        <v>885</v>
      </c>
      <c r="B41" s="5">
        <v>150</v>
      </c>
      <c r="C41" s="5">
        <v>155</v>
      </c>
      <c r="D41" s="12">
        <f t="shared" si="0"/>
        <v>2.370967741935484</v>
      </c>
      <c r="E41" s="11">
        <v>0.45951219512195118</v>
      </c>
      <c r="F41" s="13">
        <v>35</v>
      </c>
      <c r="G41" s="5">
        <v>3</v>
      </c>
      <c r="H41" s="5">
        <v>235</v>
      </c>
      <c r="I41" s="4">
        <v>375</v>
      </c>
      <c r="J41" s="5">
        <v>0</v>
      </c>
      <c r="K41" s="5">
        <v>0</v>
      </c>
      <c r="L41" s="5">
        <v>0</v>
      </c>
      <c r="M41" s="5">
        <v>65</v>
      </c>
      <c r="N41" s="5">
        <v>6</v>
      </c>
      <c r="O41" s="5">
        <v>50</v>
      </c>
      <c r="P41" s="13">
        <v>557.55999999999995</v>
      </c>
      <c r="Q41" s="5"/>
    </row>
    <row r="42" spans="1:17" ht="15" x14ac:dyDescent="0.15">
      <c r="A42" s="8">
        <v>1010</v>
      </c>
      <c r="B42" s="5">
        <v>150</v>
      </c>
      <c r="C42" s="5">
        <v>155</v>
      </c>
      <c r="D42" s="12">
        <f t="shared" si="0"/>
        <v>2.774193548387097</v>
      </c>
      <c r="E42" s="11">
        <v>0.4095652173913043</v>
      </c>
      <c r="F42" s="13">
        <v>35</v>
      </c>
      <c r="G42" s="5">
        <v>3</v>
      </c>
      <c r="H42" s="5">
        <v>235</v>
      </c>
      <c r="I42" s="4">
        <v>375</v>
      </c>
      <c r="J42" s="5">
        <v>0</v>
      </c>
      <c r="K42" s="5">
        <v>0</v>
      </c>
      <c r="L42" s="5">
        <v>0</v>
      </c>
      <c r="M42" s="5">
        <v>65</v>
      </c>
      <c r="N42" s="5">
        <v>6</v>
      </c>
      <c r="O42" s="5">
        <v>50</v>
      </c>
      <c r="P42" s="13">
        <v>494.2</v>
      </c>
      <c r="Q42" s="5"/>
    </row>
    <row r="43" spans="1:17" ht="15" x14ac:dyDescent="0.15">
      <c r="A43" s="8">
        <v>1260</v>
      </c>
      <c r="B43" s="5">
        <v>150</v>
      </c>
      <c r="C43" s="5">
        <v>155</v>
      </c>
      <c r="D43" s="12">
        <f t="shared" si="0"/>
        <v>3.5806451612903225</v>
      </c>
      <c r="E43" s="11">
        <v>0.33642857142857147</v>
      </c>
      <c r="F43" s="13">
        <v>35</v>
      </c>
      <c r="G43" s="5">
        <v>3</v>
      </c>
      <c r="H43" s="5">
        <v>235</v>
      </c>
      <c r="I43" s="4">
        <v>375</v>
      </c>
      <c r="J43" s="5">
        <v>0</v>
      </c>
      <c r="K43" s="5">
        <v>0</v>
      </c>
      <c r="L43" s="5">
        <v>0</v>
      </c>
      <c r="M43" s="5">
        <v>65</v>
      </c>
      <c r="N43" s="5">
        <v>6</v>
      </c>
      <c r="O43" s="5">
        <v>50</v>
      </c>
      <c r="P43" s="13">
        <v>510.17</v>
      </c>
      <c r="Q43" s="5"/>
    </row>
    <row r="44" spans="1:17" ht="15" x14ac:dyDescent="0.15">
      <c r="A44" s="8">
        <v>1510</v>
      </c>
      <c r="B44" s="5">
        <v>150</v>
      </c>
      <c r="C44" s="5">
        <v>155</v>
      </c>
      <c r="D44" s="12">
        <f t="shared" si="0"/>
        <v>4.387096774193548</v>
      </c>
      <c r="E44" s="11">
        <v>0.28545454545454541</v>
      </c>
      <c r="F44" s="13">
        <v>35</v>
      </c>
      <c r="G44" s="5">
        <v>3</v>
      </c>
      <c r="H44" s="5">
        <v>235</v>
      </c>
      <c r="I44" s="4">
        <v>375</v>
      </c>
      <c r="J44" s="5">
        <v>0</v>
      </c>
      <c r="K44" s="5">
        <v>0</v>
      </c>
      <c r="L44" s="5">
        <v>0</v>
      </c>
      <c r="M44" s="5">
        <v>65</v>
      </c>
      <c r="N44" s="5">
        <v>6</v>
      </c>
      <c r="O44" s="5">
        <v>50</v>
      </c>
      <c r="P44" s="13">
        <v>501</v>
      </c>
      <c r="Q44" s="5"/>
    </row>
    <row r="45" spans="1:17" ht="15" x14ac:dyDescent="0.15">
      <c r="A45" s="8">
        <v>1760</v>
      </c>
      <c r="B45" s="5">
        <v>150</v>
      </c>
      <c r="C45" s="5">
        <v>155</v>
      </c>
      <c r="D45" s="12">
        <f t="shared" si="0"/>
        <v>5.193548387096774</v>
      </c>
      <c r="E45" s="11">
        <v>0.24789473684210528</v>
      </c>
      <c r="F45" s="13">
        <v>35</v>
      </c>
      <c r="G45" s="5">
        <v>3</v>
      </c>
      <c r="H45" s="5">
        <v>235</v>
      </c>
      <c r="I45" s="4">
        <v>375</v>
      </c>
      <c r="J45" s="5">
        <v>0</v>
      </c>
      <c r="K45" s="5">
        <v>0</v>
      </c>
      <c r="L45" s="5">
        <v>0</v>
      </c>
      <c r="M45" s="5">
        <v>65</v>
      </c>
      <c r="N45" s="5">
        <v>6</v>
      </c>
      <c r="O45" s="5">
        <v>50</v>
      </c>
      <c r="P45" s="13">
        <v>492.24</v>
      </c>
      <c r="Q45" s="5"/>
    </row>
    <row r="46" spans="1:17" ht="15" x14ac:dyDescent="0.15">
      <c r="A46" s="4">
        <v>2010</v>
      </c>
      <c r="B46" s="5">
        <v>150</v>
      </c>
      <c r="C46" s="5">
        <v>155</v>
      </c>
      <c r="D46" s="12">
        <f t="shared" si="0"/>
        <v>6</v>
      </c>
      <c r="E46" s="11">
        <v>0.21906976744186044</v>
      </c>
      <c r="F46" s="13">
        <v>35</v>
      </c>
      <c r="G46" s="5">
        <v>3</v>
      </c>
      <c r="H46" s="5">
        <v>235</v>
      </c>
      <c r="I46" s="4">
        <v>375</v>
      </c>
      <c r="J46" s="5">
        <v>0</v>
      </c>
      <c r="K46" s="5">
        <v>0</v>
      </c>
      <c r="L46" s="5">
        <v>0</v>
      </c>
      <c r="M46" s="5">
        <v>65</v>
      </c>
      <c r="N46" s="5">
        <v>6</v>
      </c>
      <c r="O46" s="5">
        <v>50</v>
      </c>
      <c r="P46" s="13">
        <v>468.48</v>
      </c>
      <c r="Q46" s="5"/>
    </row>
    <row r="47" spans="1:17" ht="15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M47" s="9"/>
      <c r="N47" s="9"/>
      <c r="O47" s="9"/>
      <c r="P47" s="9"/>
    </row>
    <row r="48" spans="1:17" x14ac:dyDescent="0.15">
      <c r="A48" s="10"/>
      <c r="B48" s="10"/>
      <c r="C48" s="10"/>
      <c r="D48" s="10"/>
      <c r="E48" s="10"/>
      <c r="F48" s="10"/>
      <c r="G48" s="10"/>
      <c r="H48" s="10"/>
      <c r="I48" s="10"/>
      <c r="J48" s="10"/>
      <c r="M48" s="10"/>
      <c r="N48" s="10"/>
      <c r="O48" s="10"/>
      <c r="P48" s="10"/>
    </row>
    <row r="50" spans="2:17" ht="15" x14ac:dyDescent="0.15">
      <c r="B50" s="5"/>
      <c r="C50" s="5"/>
      <c r="D50" s="5"/>
      <c r="E50" s="5"/>
      <c r="F50" s="5"/>
      <c r="G50" s="5"/>
      <c r="H50" s="5"/>
      <c r="J50" s="5"/>
      <c r="K50" s="5"/>
      <c r="L50" s="5"/>
      <c r="M50" s="5"/>
      <c r="N50" s="5"/>
      <c r="O50" s="5"/>
      <c r="P50" s="5"/>
      <c r="Q50" s="5"/>
    </row>
    <row r="51" spans="2:17" ht="15" x14ac:dyDescent="0.15">
      <c r="Q51" s="5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 Tang</cp:lastModifiedBy>
  <dcterms:created xsi:type="dcterms:W3CDTF">2025-09-02T07:50:33Z</dcterms:created>
  <dcterms:modified xsi:type="dcterms:W3CDTF">2025-12-04T01:11:17Z</dcterms:modified>
</cp:coreProperties>
</file>